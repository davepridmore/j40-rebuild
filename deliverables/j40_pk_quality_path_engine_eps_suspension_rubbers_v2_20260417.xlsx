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K_Quality_Pat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Item</t>
        </is>
      </c>
      <c r="C1" t="inlineStr">
        <is>
          <t>Spec/Decision Locked</t>
        </is>
      </c>
      <c r="D1" t="inlineStr">
        <is>
          <t>Buy Mode</t>
        </is>
      </c>
      <c r="E1" t="inlineStr">
        <is>
          <t>Priority</t>
        </is>
      </c>
      <c r="F1" t="inlineStr">
        <is>
          <t>Min_PKR</t>
        </is>
      </c>
      <c r="G1" t="inlineStr">
        <is>
          <t>Max_PKR</t>
        </is>
      </c>
      <c r="H1" t="inlineStr">
        <is>
          <t>Mid_PKR</t>
        </is>
      </c>
      <c r="I1" t="inlineStr">
        <is>
          <t>Primary_PK_Link</t>
        </is>
      </c>
      <c r="J1" t="inlineStr">
        <is>
          <t>Backup_PK_Link</t>
        </is>
      </c>
      <c r="K1" t="inlineStr">
        <is>
          <t>Quality Gate</t>
        </is>
      </c>
      <c r="L1" t="inlineStr">
        <is>
          <t>Action Now</t>
        </is>
      </c>
    </row>
    <row r="2">
      <c r="A2" t="inlineStr">
        <is>
          <t>EPS</t>
        </is>
      </c>
      <c r="B2" t="inlineStr">
        <is>
          <t>Vitz SCP90 EPS column complete set (motor+torque sensor+reduction housing)</t>
        </is>
      </c>
      <c r="C2" t="inlineStr">
        <is>
          <t>Use Vitz EPS column conversion path (confirmed project direction).</t>
        </is>
      </c>
      <c r="D2" t="inlineStr">
        <is>
          <t>USED_TESTED</t>
        </is>
      </c>
      <c r="E2" t="inlineStr">
        <is>
          <t>P2</t>
        </is>
      </c>
      <c r="F2" t="n">
        <v>60000</v>
      </c>
      <c r="G2" t="n">
        <v>140000</v>
      </c>
      <c r="H2" t="n">
        <v>100000</v>
      </c>
      <c r="I2" t="inlineStr">
        <is>
          <t>https://www.pakwheels.com/accessories-spare-parts/search/-/q_vitz+eps+column/</t>
        </is>
      </c>
      <c r="J2" t="inlineStr">
        <is>
          <t>https://www.olx.com.pk/items/q-vitz-parts</t>
        </is>
      </c>
      <c r="K2" t="inlineStr">
        <is>
          <t>Bench test under load; no play/noise; matching splines for shaft plan.</t>
        </is>
      </c>
      <c r="L2" t="inlineStr">
        <is>
          <t>BUY_AFTER_PHYSICAL_TEST</t>
        </is>
      </c>
    </row>
    <row r="3">
      <c r="A3" t="inlineStr">
        <is>
          <t>EPS</t>
        </is>
      </c>
      <c r="B3" t="inlineStr">
        <is>
          <t>Vitz EPS ECU/controller (matching column family)</t>
        </is>
      </c>
      <c r="C3" t="inlineStr">
        <is>
          <t>Must match column generation; avoid mixed ECU/column pairings.</t>
        </is>
      </c>
      <c r="D3" t="inlineStr">
        <is>
          <t>USED_TESTED</t>
        </is>
      </c>
      <c r="E3" t="inlineStr">
        <is>
          <t>P2</t>
        </is>
      </c>
      <c r="F3" t="n">
        <v>20000</v>
      </c>
      <c r="G3" t="n">
        <v>60000</v>
      </c>
      <c r="H3" t="n">
        <v>40000</v>
      </c>
      <c r="I3" t="inlineStr">
        <is>
          <t>https://www.pakwheels.com/accessories-spare-parts/search/-/q_vitz+eps+computer/</t>
        </is>
      </c>
      <c r="J3" t="inlineStr">
        <is>
          <t>https://www.pakwheels.com/accessories-spare-parts/search/-/q_power+steering+ecu+toyota/</t>
        </is>
      </c>
      <c r="K3" t="inlineStr">
        <is>
          <t>Same donor family as EPS column; test assist behavior before install.</t>
        </is>
      </c>
      <c r="L3" t="inlineStr">
        <is>
          <t>BUY_WITH_COLUMN_AS_SET</t>
        </is>
      </c>
    </row>
    <row r="4">
      <c r="A4" t="inlineStr">
        <is>
          <t>EPS</t>
        </is>
      </c>
      <c r="B4" t="inlineStr">
        <is>
          <t>Intermediate shaft + U-joints + couplers</t>
        </is>
      </c>
      <c r="C4" t="inlineStr">
        <is>
          <t>Use new U-joints/couplers where possible, custom length after mock-up.</t>
        </is>
      </c>
      <c r="D4" t="inlineStr">
        <is>
          <t>NEW_PLUS_FAB</t>
        </is>
      </c>
      <c r="E4" t="inlineStr">
        <is>
          <t>P2</t>
        </is>
      </c>
      <c r="F4" t="n">
        <v>15000</v>
      </c>
      <c r="G4" t="n">
        <v>45000</v>
      </c>
      <c r="H4" t="n">
        <v>30000</v>
      </c>
      <c r="I4" t="inlineStr">
        <is>
          <t>https://www.pakwheels.com/accessories-spare-parts/search/-/q_steering+u+joint+toyota/</t>
        </is>
      </c>
      <c r="J4" t="inlineStr">
        <is>
          <t>https://www.daraz.pk/catalog/?q=steering+u+joint</t>
        </is>
      </c>
      <c r="K4" t="inlineStr">
        <is>
          <t>No binding through full steering sweep; proper phasing and lock-to-lock clearance.</t>
        </is>
      </c>
      <c r="L4" t="inlineStr">
        <is>
          <t>MEASURE_THEN_BUY</t>
        </is>
      </c>
    </row>
    <row r="5">
      <c r="A5" t="inlineStr">
        <is>
          <t>EPS</t>
        </is>
      </c>
      <c r="B5" t="inlineStr">
        <is>
          <t>Bracket/support fabrication + column alignment</t>
        </is>
      </c>
      <c r="C5" t="inlineStr">
        <is>
          <t>Fabricate locally using jig alignment; do not compromise column angle.</t>
        </is>
      </c>
      <c r="D5" t="inlineStr">
        <is>
          <t>FABRICATE_LOCAL</t>
        </is>
      </c>
      <c r="E5" t="inlineStr">
        <is>
          <t>P2</t>
        </is>
      </c>
      <c r="F5" t="n">
        <v>15000</v>
      </c>
      <c r="G5" t="n">
        <v>40000</v>
      </c>
      <c r="H5" t="n">
        <v>27500</v>
      </c>
      <c r="I5" t="inlineStr">
        <is>
          <t>https://www.pakwheels.com/accessories-spare-parts/search/-/q_fabrication+shop+lahore/</t>
        </is>
      </c>
      <c r="J5" t="inlineStr">
        <is>
          <t>https://www.olx.com.pk/items/q-automotive-fabrication</t>
        </is>
      </c>
      <c r="K5" t="inlineStr">
        <is>
          <t>Column axis alignment and weld quality inspection before final paint.</t>
        </is>
      </c>
      <c r="L5" t="inlineStr">
        <is>
          <t>FABRICATE_AFTER_TRIAL_FIT</t>
        </is>
      </c>
    </row>
    <row r="6">
      <c r="A6" t="inlineStr">
        <is>
          <t>Suspension</t>
        </is>
      </c>
      <c r="B6" t="inlineStr">
        <is>
          <t>Front leaf spring pack (new custom, quality-first)</t>
        </is>
      </c>
      <c r="C6" t="inlineStr">
        <is>
          <t>Recommended: LEW first (Landhi Engineering), Popular Spring backup.</t>
        </is>
      </c>
      <c r="D6" t="inlineStr">
        <is>
          <t>NEW_CUSTOM</t>
        </is>
      </c>
      <c r="E6" t="inlineStr">
        <is>
          <t>P2</t>
        </is>
      </c>
      <c r="F6" t="n">
        <v>35000</v>
      </c>
      <c r="G6" t="n">
        <v>90000</v>
      </c>
      <c r="H6" t="n">
        <v>62500</v>
      </c>
      <c r="I6" t="inlineStr">
        <is>
          <t>https://spring.com.pk/</t>
        </is>
      </c>
      <c r="J6" t="inlineStr">
        <is>
          <t>https://popularspringind.com/</t>
        </is>
      </c>
      <c r="K6" t="inlineStr">
        <is>
          <t>Build to measured free-arch/load spec; left/right pair matching certificate if possible.</t>
        </is>
      </c>
      <c r="L6" t="inlineStr">
        <is>
          <t>ORDER_AFTER_DIMENSION_SHEET</t>
        </is>
      </c>
    </row>
    <row r="7">
      <c r="A7" t="inlineStr">
        <is>
          <t>Suspension</t>
        </is>
      </c>
      <c r="B7" t="inlineStr">
        <is>
          <t>Rear leaf spring pack (new custom, quality-first)</t>
        </is>
      </c>
      <c r="C7" t="inlineStr">
        <is>
          <t>Recommended: LEW first (Landhi Engineering), Popular Spring backup.</t>
        </is>
      </c>
      <c r="D7" t="inlineStr">
        <is>
          <t>NEW_CUSTOM</t>
        </is>
      </c>
      <c r="E7" t="inlineStr">
        <is>
          <t>P2</t>
        </is>
      </c>
      <c r="F7" t="n">
        <v>35000</v>
      </c>
      <c r="G7" t="n">
        <v>90000</v>
      </c>
      <c r="H7" t="n">
        <v>62500</v>
      </c>
      <c r="I7" t="inlineStr">
        <is>
          <t>https://spring.com.pk/</t>
        </is>
      </c>
      <c r="J7" t="inlineStr">
        <is>
          <t>https://popularspringind.com/</t>
        </is>
      </c>
      <c r="K7" t="inlineStr">
        <is>
          <t>Rear pack built for vehicle load case; check anti-wrap behavior and shackle angle.</t>
        </is>
      </c>
      <c r="L7" t="inlineStr">
        <is>
          <t>ORDER_AFTER_DIMENSION_SHEET</t>
        </is>
      </c>
    </row>
    <row r="8">
      <c r="A8" t="inlineStr">
        <is>
          <t>Suspension</t>
        </is>
      </c>
      <c r="B8" t="inlineStr">
        <is>
          <t>Shock absorbers (quality priority, local serviceable path)</t>
        </is>
      </c>
      <c r="C8" t="inlineStr">
        <is>
          <t>Primary: Agriauto genuine/local OEM-grade path. Backup: local TJM/XGS path. OME de-scoped by user.</t>
        </is>
      </c>
      <c r="D8" t="inlineStr">
        <is>
          <t>NEW_GENUINE</t>
        </is>
      </c>
      <c r="E8" t="inlineStr">
        <is>
          <t>P2</t>
        </is>
      </c>
      <c r="F8" t="n">
        <v>25000</v>
      </c>
      <c r="G8" t="n">
        <v>120000</v>
      </c>
      <c r="H8" t="n">
        <v>70000</v>
      </c>
      <c r="I8" t="inlineStr">
        <is>
          <t>https://www.agriauto.com.pk/distributors-network/</t>
        </is>
      </c>
      <c r="J8" t="inlineStr">
        <is>
          <t>https://4x4stop.pk/index.php/product-category/suspensions-by-vehicle-tjm-xgs/</t>
        </is>
      </c>
      <c r="K8" t="inlineStr">
        <is>
          <t>Invoice + warranty + verified fitment length/mounts; no used/refurb shocks.</t>
        </is>
      </c>
      <c r="L8" t="inlineStr">
        <is>
          <t>QUOTE_LOCAL_NEW_AND_SELECT</t>
        </is>
      </c>
    </row>
    <row r="9">
      <c r="A9" t="inlineStr">
        <is>
          <t>Suspension</t>
        </is>
      </c>
      <c r="B9" t="inlineStr">
        <is>
          <t>Spring eye + shackle bushing full set</t>
        </is>
      </c>
      <c r="C9" t="inlineStr">
        <is>
          <t>Replace all bushes as a complete matched set (no mixed old/new).</t>
        </is>
      </c>
      <c r="D9" t="inlineStr">
        <is>
          <t>NEW</t>
        </is>
      </c>
      <c r="E9" t="inlineStr">
        <is>
          <t>P2</t>
        </is>
      </c>
      <c r="F9" t="n">
        <v>10000</v>
      </c>
      <c r="G9" t="n">
        <v>30000</v>
      </c>
      <c r="H9" t="n">
        <v>20000</v>
      </c>
      <c r="I9" t="inlineStr">
        <is>
          <t>https://www.pakwheels.com/accessories-spare-parts/search/-/q_leaf+spring+bush+toyota/</t>
        </is>
      </c>
      <c r="J9" t="inlineStr">
        <is>
          <t>https://www.daraz.pk/catalog/?q=leaf+spring+bush</t>
        </is>
      </c>
      <c r="K9" t="inlineStr">
        <is>
          <t>Correct ID/OD/length; consistent material hardness across full set.</t>
        </is>
      </c>
      <c r="L9" t="inlineStr">
        <is>
          <t>BUY_FULL_SET</t>
        </is>
      </c>
    </row>
    <row r="10">
      <c r="A10" t="inlineStr">
        <is>
          <t>Suspension</t>
        </is>
      </c>
      <c r="B10" t="inlineStr">
        <is>
          <t>U-bolt kit + greasable shackles/pins</t>
        </is>
      </c>
      <c r="C10" t="inlineStr">
        <is>
          <t>New high-tensile U-bolts and fresh shackle hardware only.</t>
        </is>
      </c>
      <c r="D10" t="inlineStr">
        <is>
          <t>NEW</t>
        </is>
      </c>
      <c r="E10" t="inlineStr">
        <is>
          <t>P2</t>
        </is>
      </c>
      <c r="F10" t="n">
        <v>25000</v>
      </c>
      <c r="G10" t="n">
        <v>70000</v>
      </c>
      <c r="H10" t="n">
        <v>47500</v>
      </c>
      <c r="I10" t="inlineStr">
        <is>
          <t>https://www.pakwheels.com/accessories-spare-parts/search/-/q_u+bolt+leaf+spring+toyota/</t>
        </is>
      </c>
      <c r="J10" t="inlineStr">
        <is>
          <t>https://www.pakwheels.com/accessories-spare-parts/search/-/q_shackle+bush+toyota/</t>
        </is>
      </c>
      <c r="K10" t="inlineStr">
        <is>
          <t>Correct diameter/thread pitch/length; torque after settle-in run.</t>
        </is>
      </c>
      <c r="L10" t="inlineStr">
        <is>
          <t>BUY_AFTER_AXLE_MEASURE</t>
        </is>
      </c>
    </row>
    <row r="11">
      <c r="A11" t="inlineStr">
        <is>
          <t>Engine/Trans</t>
        </is>
      </c>
      <c r="B11" t="inlineStr">
        <is>
          <t>Engine mount set (2H)</t>
        </is>
      </c>
      <c r="C11" t="inlineStr">
        <is>
          <t>Inspect first; replace with new if sag/crack or vibration present.</t>
        </is>
      </c>
      <c r="D11" t="inlineStr">
        <is>
          <t>INSPECT_THEN_NEW</t>
        </is>
      </c>
      <c r="E11" t="inlineStr">
        <is>
          <t>P4</t>
        </is>
      </c>
      <c r="F11" t="n">
        <v>15000</v>
      </c>
      <c r="G11" t="n">
        <v>50000</v>
      </c>
      <c r="H11" t="n">
        <v>32500</v>
      </c>
      <c r="I11" t="inlineStr">
        <is>
          <t>https://www.pakwheels.com/accessories-spare-parts/search/-/q_2h+engine+mount+toyota/</t>
        </is>
      </c>
      <c r="J11" t="inlineStr">
        <is>
          <t>https://www.daraz.pk/catalog/?q=toyota+engine+mount+rubber</t>
        </is>
      </c>
      <c r="K11" t="inlineStr">
        <is>
          <t>Match 2H mount geometry; avoid gasoline-pattern mount mismatch.</t>
        </is>
      </c>
      <c r="L11" t="inlineStr">
        <is>
          <t>BUY_IF_FAILED_INSPECTION</t>
        </is>
      </c>
    </row>
    <row r="12">
      <c r="A12" t="inlineStr">
        <is>
          <t>Engine/Trans</t>
        </is>
      </c>
      <c r="B12" t="inlineStr">
        <is>
          <t>Gearbox/transfer mounts + shifter top service items</t>
        </is>
      </c>
      <c r="C12" t="inlineStr">
        <is>
          <t>Directly relevant to clunky shift/disengage symptoms.</t>
        </is>
      </c>
      <c r="D12" t="inlineStr">
        <is>
          <t>INSPECT_THEN_NEW</t>
        </is>
      </c>
      <c r="E12" t="inlineStr">
        <is>
          <t>P4</t>
        </is>
      </c>
      <c r="F12" t="n">
        <v>12000</v>
      </c>
      <c r="G12" t="n">
        <v>45000</v>
      </c>
      <c r="H12" t="n">
        <v>28500</v>
      </c>
      <c r="I12" t="inlineStr">
        <is>
          <t>https://www.pakwheels.com/accessories-spare-parts/search/-/q_transmission+mount+toyota+land+cruiser/</t>
        </is>
      </c>
      <c r="J12" t="inlineStr">
        <is>
          <t>https://www.daraz.pk/catalog/?q=gearbox+mount+rubber+toyota</t>
        </is>
      </c>
      <c r="K12" t="inlineStr">
        <is>
          <t>Mounts + shifter bushes/detents condition check during tub-off access.</t>
        </is>
      </c>
      <c r="L12" t="inlineStr">
        <is>
          <t>SERVICE_FIRST_PASS</t>
        </is>
      </c>
    </row>
    <row r="13">
      <c r="A13" t="inlineStr">
        <is>
          <t>Engine/Trans</t>
        </is>
      </c>
      <c r="B13" t="inlineStr">
        <is>
          <t>Glow plugs (new only)</t>
        </is>
      </c>
      <c r="C13" t="inlineStr">
        <is>
          <t>New only, engine-code/thread/reach/voltage verified.</t>
        </is>
      </c>
      <c r="D13" t="inlineStr">
        <is>
          <t>NEW_ONLY</t>
        </is>
      </c>
      <c r="E13" t="inlineStr">
        <is>
          <t>P4</t>
        </is>
      </c>
      <c r="F13" t="n">
        <v>12000</v>
      </c>
      <c r="G13" t="n">
        <v>36000</v>
      </c>
      <c r="H13" t="n">
        <v>24000</v>
      </c>
      <c r="I13" t="inlineStr">
        <is>
          <t>https://www.pakwheels.com/accessories-spare-parts/search/-/q_glow+plug+2h+toyota/</t>
        </is>
      </c>
      <c r="J13" t="inlineStr">
        <is>
          <t>https://www.daraz.pk/catalog/?q=toyota+glow+plug</t>
        </is>
      </c>
      <c r="K13" t="inlineStr">
        <is>
          <t>No used/refurb glow plugs. Brand and part-number verification required.</t>
        </is>
      </c>
      <c r="L13" t="inlineStr">
        <is>
          <t>BUY_NEW_ONLY</t>
        </is>
      </c>
    </row>
    <row r="14">
      <c r="A14" t="inlineStr">
        <is>
          <t>Engine/Trans</t>
        </is>
      </c>
      <c r="B14" t="inlineStr">
        <is>
          <t>Fuel filter + oil filter + service fluids bundle</t>
        </is>
      </c>
      <c r="C14" t="inlineStr">
        <is>
          <t>Buy as one service bundle from Toyota/common parts market.</t>
        </is>
      </c>
      <c r="D14" t="inlineStr">
        <is>
          <t>NEW</t>
        </is>
      </c>
      <c r="E14" t="inlineStr">
        <is>
          <t>P4</t>
        </is>
      </c>
      <c r="F14" t="n">
        <v>12000</v>
      </c>
      <c r="G14" t="n">
        <v>35000</v>
      </c>
      <c r="H14" t="n">
        <v>23500</v>
      </c>
      <c r="I14" t="inlineStr">
        <is>
          <t>https://www.pakwheels.com/accessories-spare-parts/search/-/q_toyota+diesel+fuel+filter/</t>
        </is>
      </c>
      <c r="J14" t="inlineStr">
        <is>
          <t>https://www.daraz.pk/catalog/?q=toyota+oil+filter+diesel</t>
        </is>
      </c>
      <c r="K14" t="inlineStr">
        <is>
          <t>Filter brand/authenticity check.</t>
        </is>
      </c>
      <c r="L14" t="inlineStr">
        <is>
          <t>BUY_AS_BUNDLE</t>
        </is>
      </c>
    </row>
    <row r="15">
      <c r="A15" t="inlineStr">
        <is>
          <t>Engine/Trans</t>
        </is>
      </c>
      <c r="B15" t="inlineStr">
        <is>
          <t>Fuel hose (J30R7) + clamps + return line</t>
        </is>
      </c>
      <c r="C15" t="inlineStr">
        <is>
          <t>Safety-critical hose refresh set.</t>
        </is>
      </c>
      <c r="D15" t="inlineStr">
        <is>
          <t>NEW</t>
        </is>
      </c>
      <c r="E15" t="inlineStr">
        <is>
          <t>P4</t>
        </is>
      </c>
      <c r="F15" t="n">
        <v>12000</v>
      </c>
      <c r="G15" t="n">
        <v>35000</v>
      </c>
      <c r="H15" t="n">
        <v>23500</v>
      </c>
      <c r="I15" t="inlineStr">
        <is>
          <t>https://www.daraz.pk/catalog/?q=SAE+J30R7+fuel+hose</t>
        </is>
      </c>
      <c r="J15" t="inlineStr">
        <is>
          <t>https://www.daraz.pk/catalog/?q=fuel+hose+clamp</t>
        </is>
      </c>
      <c r="K15" t="inlineStr">
        <is>
          <t>Use fuel-rated hose only, no coolant-hose substitutes.</t>
        </is>
      </c>
      <c r="L15" t="inlineStr">
        <is>
          <t>BUY_NEW</t>
        </is>
      </c>
    </row>
    <row r="16">
      <c r="A16" t="inlineStr">
        <is>
          <t>Engine/Trans</t>
        </is>
      </c>
      <c r="B16" t="inlineStr">
        <is>
          <t>Radiator + heater hose refresh set</t>
        </is>
      </c>
      <c r="C16" t="inlineStr">
        <is>
          <t>Replace brittle/aged hoses while access is open.</t>
        </is>
      </c>
      <c r="D16" t="inlineStr">
        <is>
          <t>NEW</t>
        </is>
      </c>
      <c r="E16" t="inlineStr">
        <is>
          <t>P4</t>
        </is>
      </c>
      <c r="F16" t="n">
        <v>15000</v>
      </c>
      <c r="G16" t="n">
        <v>40000</v>
      </c>
      <c r="H16" t="n">
        <v>27500</v>
      </c>
      <c r="I16" t="inlineStr">
        <is>
          <t>https://www.daraz.pk/catalog/?q=radiator+hose+toyota</t>
        </is>
      </c>
      <c r="J16" t="inlineStr">
        <is>
          <t>https://www.daraz.pk/catalog/?q=heater+hose+toyota</t>
        </is>
      </c>
      <c r="K16" t="inlineStr">
        <is>
          <t>Diameter and bend radius match; no kinks at full engine movement.</t>
        </is>
      </c>
      <c r="L16" t="inlineStr">
        <is>
          <t>BUY_AFTER_MEASURE</t>
        </is>
      </c>
    </row>
    <row r="17">
      <c r="A17" t="inlineStr">
        <is>
          <t>Rubbers</t>
        </is>
      </c>
      <c r="B17" t="inlineStr">
        <is>
          <t>Body-to-chassis mount rubber kit + shim pack</t>
        </is>
      </c>
      <c r="C17" t="inlineStr">
        <is>
          <t>Replace all main mount rubbers and shim stack to OEM mount points.</t>
        </is>
      </c>
      <c r="D17" t="inlineStr">
        <is>
          <t>NEW</t>
        </is>
      </c>
      <c r="E17" t="inlineStr">
        <is>
          <t>P2</t>
        </is>
      </c>
      <c r="F17" t="n">
        <v>18000</v>
      </c>
      <c r="G17" t="n">
        <v>72000</v>
      </c>
      <c r="H17" t="n">
        <v>45000</v>
      </c>
      <c r="I17" t="inlineStr">
        <is>
          <t>https://www.pakwheels.com/accessories-spare-parts/search/-/q_body+mount+rubber+toyota+land+cruiser/</t>
        </is>
      </c>
      <c r="J17" t="inlineStr">
        <is>
          <t>https://www.daraz.pk/catalog/?q=body+mount+bushing+toyota</t>
        </is>
      </c>
      <c r="K17" t="inlineStr">
        <is>
          <t>Do not final torque until tub is aligned on all points.</t>
        </is>
      </c>
      <c r="L17" t="inlineStr">
        <is>
          <t>BUY_NOW</t>
        </is>
      </c>
    </row>
    <row r="18">
      <c r="A18" t="inlineStr">
        <is>
          <t>Rubbers</t>
        </is>
      </c>
      <c r="B18" t="inlineStr">
        <is>
          <t>Firewall/column/wiper/rear grommets</t>
        </is>
      </c>
      <c r="C18" t="inlineStr">
        <is>
          <t>Replace all penetration grommets during final loom sealing.</t>
        </is>
      </c>
      <c r="D18" t="inlineStr">
        <is>
          <t>NEW</t>
        </is>
      </c>
      <c r="E18" t="inlineStr">
        <is>
          <t>P2</t>
        </is>
      </c>
      <c r="F18" t="n">
        <v>1000</v>
      </c>
      <c r="G18" t="n">
        <v>7000</v>
      </c>
      <c r="H18" t="n">
        <v>4000</v>
      </c>
      <c r="I18" t="inlineStr">
        <is>
          <t>https://www.daraz.pk/catalog/?q=rubber+grommet+kit+automotive</t>
        </is>
      </c>
      <c r="J18" t="inlineStr">
        <is>
          <t>https://www.pakwheels.com/accessories-spare-parts/search/-/q_rubber+grommet+kit/</t>
        </is>
      </c>
      <c r="K18" t="inlineStr">
        <is>
          <t>Match each hole OD/ID; add slit grommets only where service needed.</t>
        </is>
      </c>
      <c r="L18" t="inlineStr">
        <is>
          <t>TOPUP_IF_SHORT</t>
        </is>
      </c>
    </row>
    <row r="19">
      <c r="A19" t="inlineStr">
        <is>
          <t>Rubbers</t>
        </is>
      </c>
      <c r="B19" t="inlineStr">
        <is>
          <t>Door/weatherstrip + windshield + vent seals</t>
        </is>
      </c>
      <c r="C19" t="inlineStr">
        <is>
          <t>Full rubber refresh for weatherproofing after body finish.</t>
        </is>
      </c>
      <c r="D19" t="inlineStr">
        <is>
          <t>NEW</t>
        </is>
      </c>
      <c r="E19" t="inlineStr">
        <is>
          <t>P5</t>
        </is>
      </c>
      <c r="F19" t="n">
        <v>70000</v>
      </c>
      <c r="G19" t="n">
        <v>180000</v>
      </c>
      <c r="H19" t="n">
        <v>125000</v>
      </c>
      <c r="I19" t="inlineStr">
        <is>
          <t>https://www.pakwheels.com/accessories-spare-parts/search/-/q_door+weatherstrip+toyota/</t>
        </is>
      </c>
      <c r="J19" t="inlineStr">
        <is>
          <t>https://www.pakwheels.com/accessories-spare-parts/search/-/q_windshield+rubber+toyota/</t>
        </is>
      </c>
      <c r="K19" t="inlineStr">
        <is>
          <t>Cross-section/profile check against existing channels before purchase.</t>
        </is>
      </c>
      <c r="L19" t="inlineStr">
        <is>
          <t>BUY_POST_BODYWORK</t>
        </is>
      </c>
    </row>
    <row r="20">
      <c r="A20" t="inlineStr">
        <is>
          <t>Rubbers</t>
        </is>
      </c>
      <c r="B20" t="inlineStr">
        <is>
          <t>Exhaust hangers + pedal rubbers + seal O-rings</t>
        </is>
      </c>
      <c r="C20" t="inlineStr">
        <is>
          <t>Small consumable rubber refresh pack.</t>
        </is>
      </c>
      <c r="D20" t="inlineStr">
        <is>
          <t>NEW</t>
        </is>
      </c>
      <c r="E20" t="inlineStr">
        <is>
          <t>P5</t>
        </is>
      </c>
      <c r="F20" t="n">
        <v>8000</v>
      </c>
      <c r="G20" t="n">
        <v>25000</v>
      </c>
      <c r="H20" t="n">
        <v>16500</v>
      </c>
      <c r="I20" t="inlineStr">
        <is>
          <t>https://www.daraz.pk/catalog/?q=exhaust+hanger+rubber</t>
        </is>
      </c>
      <c r="J20" t="inlineStr">
        <is>
          <t>https://industryparts.pk/products/o-ring-assortment-rubber-kit-382-pieces-30-sizes</t>
        </is>
      </c>
      <c r="K20" t="inlineStr">
        <is>
          <t>Buy by dimension and material, not only by model keyword.</t>
        </is>
      </c>
      <c r="L20" t="inlineStr">
        <is>
          <t>BUY_WITH_FINAL_ASSEMBLY</t>
        </is>
      </c>
    </row>
    <row r="21">
      <c r="A21" t="inlineStr">
        <is>
          <t>TOTAL_P2_CORE</t>
        </is>
      </c>
      <c r="F21">
        <f>SUMIF(E2:E999,"P2",F2:F999)</f>
        <v/>
      </c>
      <c r="G21">
        <f>SUMIF(E2:E999,"P2",G2:G999)</f>
        <v/>
      </c>
      <c r="H21">
        <f>SUMIF(E2:E999,"P2",H2:H999)</f>
        <v/>
      </c>
    </row>
    <row r="22">
      <c r="A22" t="inlineStr">
        <is>
          <t>TOTAL_FULL_LIST</t>
        </is>
      </c>
      <c r="F22">
        <f>SUM(F2:F999)</f>
        <v/>
      </c>
      <c r="G22">
        <f>SUM(G2:G999)</f>
        <v/>
      </c>
      <c r="H22">
        <f>SUM(H2:H999)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2026-04-16T22:10:17Z</dcterms:created>
  <dcterms:modified xmlns:dcterms="http://purl.org/dc/terms/" xmlns:xsi="http://www.w3.org/2001/XMLSchema-instance" xsi:type="dcterms:W3CDTF">2026-04-16T22:10:17Z</dcterms:modified>
</cp:coreProperties>
</file>